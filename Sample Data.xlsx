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<sst xmlns="http://schemas.openxmlformats.org/spreadsheetml/2006/main" count="190" uniqueCount="152">
  <si>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</si>
  <si>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</si>
  <si>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</si>
  <si>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</si>
  <si>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</si>
  <si>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</si>
  <si>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</si>
  <si>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</si>
  <si>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</si>
  <si>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</si>
  <si>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</si>
  <si>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</si>
  <si>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</si>
  <si>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</si>
  <si>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Contact Owner</t>
  </si>
  <si>
    <t>Work Direct Phone</t>
  </si>
  <si>
    <t>Home Phone</t>
  </si>
  <si>
    <t>Mobile Phone</t>
  </si>
  <si>
    <t>Corporate Phone</t>
  </si>
  <si>
    <t>Other Phone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</si>
  <si>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</si>
  <si>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</si>
  <si>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</si>
  <si>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</si>
  <si>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</si>
  <si>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</si>
  <si>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</si>
  <si>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</si>
  <si>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</si>
  <si>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</si>
  <si>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</si>
  <si>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</si>
  <si>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</si>
  <si>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</si>
  <si>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</si>
  <si>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</si>
  <si>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</si>
  <si>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</si>
  <si>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</si>
  <si>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</si>
  <si>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</si>
  <si>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</si>
  <si>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</si>
  <si>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</si>
  <si>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</si>
  <si>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</si>
  <si>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</si>
  <si>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</si>
  <si>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</si>
  <si>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</si>
  <si>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</si>
  <si>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</si>
  <si>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</si>
  <si>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</si>
  <si>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</si>
  <si>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</si>
  <si>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</si>
  <si>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</si>
  <si>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</si>
  <si>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</si>
  <si>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</si>
  <si>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</si>
  <si>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</si>
  <si>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</si>
  <si>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</si>
  <si>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</si>
  <si>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</si>
  <si>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Sarah</t>
  </si>
  <si>
    <t>Lee</t>
  </si>
  <si>
    <t>Founder</t>
  </si>
  <si>
    <t>NeuralNova</t>
  </si>
  <si>
    <t>neuralnova</t>
  </si>
  <si>
    <t>sarah.lee@neuralnova.com</t>
  </si>
  <si>
    <t>Valid</t>
  </si>
  <si>
    <t>Apollo</t>
  </si>
  <si>
    <t>ZeroBounce</t>
  </si>
  <si>
    <t>High</t>
  </si>
  <si>
    <t>Engineering</t>
  </si>
  <si>
    <t>Hilay Mehta</t>
  </si>
  <si>
    <t>Prospect</t>
  </si>
  <si>
    <t>AI Startups</t>
  </si>
  <si>
    <t>Artificial Intelligence</t>
  </si>
  <si>
    <t>AI, Machine Learning, SaaS</t>
  </si>
  <si>
    <t>https://www.linkedin.com/in/sarahleeai</t>
  </si>
  <si>
    <t>https://neuralnova.com</t>
  </si>
  <si>
    <t>https://www.linkedin.com/company/neuralnova</t>
  </si>
  <si>
    <t>https://facebook.com/neuralnova</t>
  </si>
  <si>
    <t>https://twitter.com/neuralnova</t>
  </si>
  <si>
    <t>San Francisco</t>
  </si>
  <si>
    <t>CA</t>
  </si>
  <si>
    <t>USA</t>
  </si>
  <si>
    <t>450 Mission St</t>
  </si>
  <si>
    <t>Python, AWS, TensorFlow</t>
  </si>
  <si>
    <t>Seed</t>
  </si>
  <si>
    <t>No</t>
  </si>
  <si>
    <t>APL-001</t>
  </si>
  <si>
    <t>ACC-001</t>
  </si>
  <si>
    <t>AI Tools</t>
  </si>
  <si>
    <t>Recruiting Automation</t>
  </si>
  <si>
    <t>David</t>
  </si>
  <si>
    <t>Nguyen</t>
  </si>
  <si>
    <t>Head of Product</t>
  </si>
  <si>
    <t>CloudWeave</t>
  </si>
  <si>
    <t>cloudweave</t>
  </si>
  <si>
    <t>david.nguyen@cloudweave.io</t>
  </si>
  <si>
    <t>LinkedIn</t>
  </si>
  <si>
    <t>Hunter.io</t>
  </si>
  <si>
    <t>Medium</t>
  </si>
  <si>
    <t>Director</t>
  </si>
  <si>
    <t>Product</t>
  </si>
  <si>
    <t>Engaged</t>
  </si>
  <si>
    <t>Product Founders</t>
  </si>
  <si>
    <t>SaaS</t>
  </si>
  <si>
    <t>Cloud, Data, API</t>
  </si>
  <si>
    <t>https://www.linkedin.com/in/davidnguyenproduct</t>
  </si>
  <si>
    <t>https://cloudweave.io</t>
  </si>
  <si>
    <t>https://www.linkedin.com/company/cloudweave</t>
  </si>
  <si>
    <t>https://facebook.com/cloudweave</t>
  </si>
  <si>
    <t>https://twitter.com/cloudweave</t>
  </si>
  <si>
    <t>Seattle</t>
  </si>
  <si>
    <t>WA</t>
  </si>
  <si>
    <t>200 Pine St</t>
  </si>
  <si>
    <t>React, GCP, Kubernetes</t>
  </si>
  <si>
    <t>Series A</t>
  </si>
  <si>
    <t>APL-002</t>
  </si>
  <si>
    <t>ACC-002</t>
  </si>
  <si>
    <t>DevOps</t>
  </si>
  <si>
    <t>Data Infrastructure</t>
  </si>
  <si>
    <t>Emily</t>
  </si>
  <si>
    <t>Patel</t>
  </si>
  <si>
    <t>CTO</t>
  </si>
  <si>
    <t>MedInnova</t>
  </si>
  <si>
    <t>medinnova</t>
  </si>
  <si>
    <t>emily.patel@medinnovahealth.com</t>
  </si>
  <si>
    <t>Technology</t>
  </si>
  <si>
    <t>HealthTech Founders</t>
  </si>
  <si>
    <t>Healthcare</t>
  </si>
  <si>
    <t>AI, Diagnostics, Cloud</t>
  </si>
  <si>
    <t>https://www.linkedin.com/in/emilypateltech</t>
  </si>
  <si>
    <t>https://medinnovahealth.com</t>
  </si>
  <si>
    <t>https://www.linkedin.com/company/medinnova</t>
  </si>
  <si>
    <t>https://facebook.com/medinnova</t>
  </si>
  <si>
    <t>https://twitter.com/medinnova</t>
  </si>
  <si>
    <t>Chicago</t>
  </si>
  <si>
    <t>IL</t>
  </si>
  <si>
    <t>1200 W Randolph St</t>
  </si>
  <si>
    <t>Azure, Python, FastAPI</t>
  </si>
  <si>
    <t>Series B</t>
  </si>
  <si>
    <t>APL-003</t>
  </si>
  <si>
    <t>ACC-003</t>
  </si>
  <si>
    <t>Healthcare Innovation</t>
  </si>
  <si>
    <t>AI Diagnostics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</si>
</sst>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witter.com/cloudweave" TargetMode="External"/><Relationship Id="rId10" Type="http://schemas.openxmlformats.org/officeDocument/2006/relationships/hyperlink" Target="https://facebook.com/cloudweave" TargetMode="External"/><Relationship Id="rId13" Type="http://schemas.openxmlformats.org/officeDocument/2006/relationships/hyperlink" Target="https://medinnovahealth.com" TargetMode="External"/><Relationship Id="rId12" Type="http://schemas.openxmlformats.org/officeDocument/2006/relationships/hyperlink" Target="https://www.linkedin.com/in/emilypateltech" TargetMode="External"/><Relationship Id="rId1" Type="http://schemas.openxmlformats.org/officeDocument/2006/relationships/hyperlink" Target="https://www.linkedin.com/in/sarahleeai" TargetMode="External"/><Relationship Id="rId2" Type="http://schemas.openxmlformats.org/officeDocument/2006/relationships/hyperlink" Target="https://neuralnova.com" TargetMode="External"/><Relationship Id="rId3" Type="http://schemas.openxmlformats.org/officeDocument/2006/relationships/hyperlink" Target="https://www.linkedin.com/company/neuralnova" TargetMode="External"/><Relationship Id="rId4" Type="http://schemas.openxmlformats.org/officeDocument/2006/relationships/hyperlink" Target="https://facebook.com/neuralnova" TargetMode="External"/><Relationship Id="rId9" Type="http://schemas.openxmlformats.org/officeDocument/2006/relationships/hyperlink" Target="https://www.linkedin.com/company/cloudweave" TargetMode="External"/><Relationship Id="rId15" Type="http://schemas.openxmlformats.org/officeDocument/2006/relationships/hyperlink" Target="https://facebook.com/medinnova" TargetMode="External"/><Relationship Id="rId14" Type="http://schemas.openxmlformats.org/officeDocument/2006/relationships/hyperlink" Target="https://www.linkedin.com/company/medinnova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twitter.com/medinnova" TargetMode="External"/><Relationship Id="rId5" Type="http://schemas.openxmlformats.org/officeDocument/2006/relationships/hyperlink" Target="https://twitter.com/neuralnova" TargetMode="External"/><Relationship Id="rId6" Type="http://schemas.openxmlformats.org/officeDocument/2006/relationships/hyperlink" Target="http://hunter.io" TargetMode="External"/><Relationship Id="rId7" Type="http://schemas.openxmlformats.org/officeDocument/2006/relationships/hyperlink" Target="https://www.linkedin.com/in/davidnguyenproduct" TargetMode="External"/><Relationship Id="rId8" Type="http://schemas.openxmlformats.org/officeDocument/2006/relationships/hyperlink" Target="https://cloudweave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b">
        <v>0</v>
      </c>
      <c r="L2" s="2">
        <v>45960.0</v>
      </c>
      <c r="M2" s="1" t="s">
        <v>69</v>
      </c>
      <c r="N2" s="1" t="s">
        <v>77</v>
      </c>
      <c r="O2" s="1" t="s">
        <v>78</v>
      </c>
      <c r="P2" s="3">
        <f>+1-415-555-1101</f>
        <v>-2070</v>
      </c>
      <c r="S2" s="3">
        <f>+1-415-555-0</f>
        <v>-969</v>
      </c>
      <c r="U2" s="1" t="s">
        <v>79</v>
      </c>
      <c r="V2" s="1" t="s">
        <v>80</v>
      </c>
      <c r="X2" s="1" t="s">
        <v>78</v>
      </c>
      <c r="Y2" s="1">
        <v>25.0</v>
      </c>
      <c r="Z2" s="1" t="s">
        <v>81</v>
      </c>
      <c r="AA2" s="1" t="s">
        <v>82</v>
      </c>
      <c r="AB2" s="4" t="s">
        <v>83</v>
      </c>
      <c r="AC2" s="4" t="s">
        <v>84</v>
      </c>
      <c r="AD2" s="4" t="s">
        <v>85</v>
      </c>
      <c r="AE2" s="4" t="s">
        <v>86</v>
      </c>
      <c r="AF2" s="4" t="s">
        <v>87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88</v>
      </c>
      <c r="AL2" s="1" t="s">
        <v>89</v>
      </c>
      <c r="AM2" s="1" t="s">
        <v>90</v>
      </c>
      <c r="AN2" s="3">
        <f>+1-415-555-0</f>
        <v>-969</v>
      </c>
      <c r="AO2" s="1" t="s">
        <v>92</v>
      </c>
      <c r="AP2" s="1">
        <v>5000000.0</v>
      </c>
      <c r="AQ2" s="1">
        <v>2000000.0</v>
      </c>
      <c r="AR2" s="1" t="s">
        <v>93</v>
      </c>
      <c r="AS2" s="1">
        <v>2000000.0</v>
      </c>
      <c r="AT2" s="2">
        <v>45545.0</v>
      </c>
      <c r="AV2" s="1" t="s">
        <v>94</v>
      </c>
      <c r="AW2" s="1" t="s">
        <v>94</v>
      </c>
      <c r="AX2" s="1" t="s">
        <v>94</v>
      </c>
      <c r="AY2" s="1" t="s">
        <v>94</v>
      </c>
      <c r="AZ2" s="1" t="s">
        <v>94</v>
      </c>
      <c r="BA2" s="1">
        <v>0.0</v>
      </c>
      <c r="BB2" s="1" t="s">
        <v>95</v>
      </c>
      <c r="BC2" s="1" t="s">
        <v>96</v>
      </c>
      <c r="BK2" s="1" t="s">
        <v>97</v>
      </c>
      <c r="BL2" s="1">
        <v>82.0</v>
      </c>
      <c r="BM2" s="1" t="s">
        <v>98</v>
      </c>
      <c r="BN2" s="1">
        <v>65.0</v>
      </c>
    </row>
    <row r="3">
      <c r="A3" s="1" t="s">
        <v>99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  <c r="G3" s="1" t="s">
        <v>73</v>
      </c>
      <c r="H3" s="1" t="s">
        <v>105</v>
      </c>
      <c r="I3" s="4" t="s">
        <v>106</v>
      </c>
      <c r="J3" s="1" t="s">
        <v>107</v>
      </c>
      <c r="K3" s="1" t="b">
        <v>0</v>
      </c>
      <c r="L3" s="2">
        <v>45962.0</v>
      </c>
      <c r="M3" s="1" t="s">
        <v>108</v>
      </c>
      <c r="N3" s="1" t="s">
        <v>109</v>
      </c>
      <c r="O3" s="1" t="s">
        <v>78</v>
      </c>
      <c r="P3" s="3">
        <f>+1-206-555-4499</f>
        <v>-5259</v>
      </c>
      <c r="S3" s="3">
        <f>+1-206-555-4400</f>
        <v>-5160</v>
      </c>
      <c r="U3" s="1" t="s">
        <v>110</v>
      </c>
      <c r="V3" s="1" t="s">
        <v>111</v>
      </c>
      <c r="X3" s="1" t="s">
        <v>78</v>
      </c>
      <c r="Y3" s="1">
        <v>80.0</v>
      </c>
      <c r="Z3" s="1" t="s">
        <v>112</v>
      </c>
      <c r="AA3" s="1" t="s">
        <v>113</v>
      </c>
      <c r="AB3" s="4" t="s">
        <v>114</v>
      </c>
      <c r="AC3" s="4" t="s">
        <v>115</v>
      </c>
      <c r="AD3" s="4" t="s">
        <v>116</v>
      </c>
      <c r="AE3" s="4" t="s">
        <v>117</v>
      </c>
      <c r="AF3" s="4" t="s">
        <v>118</v>
      </c>
      <c r="AG3" s="1" t="s">
        <v>119</v>
      </c>
      <c r="AH3" s="1" t="s">
        <v>120</v>
      </c>
      <c r="AI3" s="1" t="s">
        <v>90</v>
      </c>
      <c r="AJ3" s="1" t="s">
        <v>121</v>
      </c>
      <c r="AK3" s="1" t="s">
        <v>119</v>
      </c>
      <c r="AL3" s="1" t="s">
        <v>120</v>
      </c>
      <c r="AM3" s="1" t="s">
        <v>90</v>
      </c>
      <c r="AN3" s="3">
        <f>+1-206-555-4400</f>
        <v>-5160</v>
      </c>
      <c r="AO3" s="1" t="s">
        <v>122</v>
      </c>
      <c r="AP3" s="1">
        <v>1.2E7</v>
      </c>
      <c r="AQ3" s="1">
        <v>8000000.0</v>
      </c>
      <c r="AR3" s="1" t="s">
        <v>123</v>
      </c>
      <c r="AS3" s="1">
        <v>8000000.0</v>
      </c>
      <c r="AT3" s="2">
        <v>45509.0</v>
      </c>
      <c r="AV3" s="1" t="s">
        <v>94</v>
      </c>
      <c r="AW3" s="1" t="s">
        <v>94</v>
      </c>
      <c r="AX3" s="1" t="s">
        <v>94</v>
      </c>
      <c r="AY3" s="1" t="s">
        <v>94</v>
      </c>
      <c r="AZ3" s="1" t="s">
        <v>94</v>
      </c>
      <c r="BA3" s="1">
        <v>0.0</v>
      </c>
      <c r="BB3" s="1" t="s">
        <v>124</v>
      </c>
      <c r="BC3" s="1" t="s">
        <v>125</v>
      </c>
      <c r="BK3" s="1" t="s">
        <v>126</v>
      </c>
      <c r="BL3" s="1">
        <v>75.0</v>
      </c>
      <c r="BM3" s="1" t="s">
        <v>127</v>
      </c>
      <c r="BN3" s="1">
        <v>61.0</v>
      </c>
    </row>
    <row r="4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73</v>
      </c>
      <c r="H4" s="1" t="s">
        <v>74</v>
      </c>
      <c r="I4" s="1" t="s">
        <v>75</v>
      </c>
      <c r="J4" s="1" t="s">
        <v>76</v>
      </c>
      <c r="K4" s="1" t="b">
        <v>0</v>
      </c>
      <c r="L4" s="2">
        <v>45959.0</v>
      </c>
      <c r="M4" s="1" t="s">
        <v>130</v>
      </c>
      <c r="N4" s="1" t="s">
        <v>134</v>
      </c>
      <c r="O4" s="1" t="s">
        <v>78</v>
      </c>
      <c r="P4" s="3">
        <f>+1-312-555-7890</f>
        <v>-8756</v>
      </c>
      <c r="S4" s="3">
        <f>+1-312-555-0</f>
        <v>-866</v>
      </c>
      <c r="U4" s="1" t="s">
        <v>79</v>
      </c>
      <c r="V4" s="1" t="s">
        <v>135</v>
      </c>
      <c r="X4" s="1" t="s">
        <v>78</v>
      </c>
      <c r="Y4" s="1">
        <v>150.0</v>
      </c>
      <c r="Z4" s="1" t="s">
        <v>136</v>
      </c>
      <c r="AA4" s="1" t="s">
        <v>137</v>
      </c>
      <c r="AB4" s="4" t="s">
        <v>138</v>
      </c>
      <c r="AC4" s="4" t="s">
        <v>139</v>
      </c>
      <c r="AD4" s="4" t="s">
        <v>140</v>
      </c>
      <c r="AE4" s="4" t="s">
        <v>141</v>
      </c>
      <c r="AF4" s="4" t="s">
        <v>142</v>
      </c>
      <c r="AG4" s="1" t="s">
        <v>143</v>
      </c>
      <c r="AH4" s="1" t="s">
        <v>144</v>
      </c>
      <c r="AI4" s="1" t="s">
        <v>90</v>
      </c>
      <c r="AJ4" s="1" t="s">
        <v>145</v>
      </c>
      <c r="AK4" s="1" t="s">
        <v>143</v>
      </c>
      <c r="AL4" s="1" t="s">
        <v>144</v>
      </c>
      <c r="AM4" s="1" t="s">
        <v>90</v>
      </c>
      <c r="AN4" s="3">
        <f>+1-312-555-0</f>
        <v>-866</v>
      </c>
      <c r="AO4" s="1" t="s">
        <v>146</v>
      </c>
      <c r="AP4" s="1">
        <v>2.0E7</v>
      </c>
      <c r="AQ4" s="1">
        <v>1.2E7</v>
      </c>
      <c r="AR4" s="1" t="s">
        <v>147</v>
      </c>
      <c r="AS4" s="1">
        <v>1.2E7</v>
      </c>
      <c r="AT4" s="2">
        <v>45485.0</v>
      </c>
      <c r="AV4" s="1" t="s">
        <v>94</v>
      </c>
      <c r="AW4" s="1" t="s">
        <v>94</v>
      </c>
      <c r="AX4" s="1" t="s">
        <v>94</v>
      </c>
      <c r="AY4" s="1" t="s">
        <v>94</v>
      </c>
      <c r="AZ4" s="1" t="s">
        <v>94</v>
      </c>
      <c r="BA4" s="1">
        <v>0.0</v>
      </c>
      <c r="BB4" s="1" t="s">
        <v>148</v>
      </c>
      <c r="BC4" s="1" t="s">
        <v>149</v>
      </c>
      <c r="BK4" s="1" t="s">
        <v>150</v>
      </c>
      <c r="BL4" s="1">
        <v>88.0</v>
      </c>
      <c r="BM4" s="1" t="s">
        <v>151</v>
      </c>
      <c r="BN4" s="1">
        <v>70.0</v>
      </c>
    </row>
  </sheetData>
  <hyperlinks>
    <hyperlink r:id="rId1" ref="AB2"/>
    <hyperlink r:id="rId2" ref="AC2"/>
    <hyperlink r:id="rId3" ref="AD2"/>
    <hyperlink r:id="rId4" ref="AE2"/>
    <hyperlink r:id="rId5" ref="AF2"/>
    <hyperlink r:id="rId6" ref="I3"/>
    <hyperlink r:id="rId7" ref="AB3"/>
    <hyperlink r:id="rId8" ref="AC3"/>
    <hyperlink r:id="rId9" ref="AD3"/>
    <hyperlink r:id="rId10" ref="AE3"/>
    <hyperlink r:id="rId11" ref="AF3"/>
    <hyperlink r:id="rId12" ref="AB4"/>
    <hyperlink r:id="rId13" ref="AC4"/>
    <hyperlink r:id="rId14" ref="AD4"/>
    <hyperlink r:id="rId15" ref="AE4"/>
    <hyperlink r:id="rId16" ref="AF4"/>
  </hyperlinks>
  <drawing r:id="rId17"/>
</worksheet>
</file>